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664b1cba421e34/Desktop/"/>
    </mc:Choice>
  </mc:AlternateContent>
  <xr:revisionPtr revIDLastSave="0" documentId="8_{A162577D-0500-472C-8BCB-47BD13EB30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les Data (Sep 2025 - Jan 2026" sheetId="1" r:id="rId1"/>
    <sheet name="Summary" sheetId="2" r:id="rId2"/>
  </sheets>
  <externalReferences>
    <externalReference r:id="rId3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B8" i="2"/>
  <c r="C7" i="2"/>
  <c r="B7" i="2"/>
  <c r="C6" i="2"/>
  <c r="B6" i="2"/>
  <c r="C5" i="2"/>
  <c r="B5" i="2"/>
  <c r="C4" i="2"/>
  <c r="B4" i="2"/>
  <c r="C3" i="2"/>
  <c r="B3" i="2"/>
  <c r="C2" i="2"/>
  <c r="B2" i="2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<sst xmlns="http://schemas.openxmlformats.org/spreadsheetml/2006/main" count="337" uniqueCount="51">
  <si>
    <t>Date</t>
  </si>
  <si>
    <t>Month</t>
  </si>
  <si>
    <t>Year</t>
  </si>
  <si>
    <t>Company Name</t>
  </si>
  <si>
    <t>Brand</t>
  </si>
  <si>
    <t>Product</t>
  </si>
  <si>
    <t>Category</t>
  </si>
  <si>
    <t>Bottle Size (ml)</t>
  </si>
  <si>
    <t>Unit Price (₹)</t>
  </si>
  <si>
    <t>Units Sold</t>
  </si>
  <si>
    <t>Total Revenue (₹)</t>
  </si>
  <si>
    <t>Region</t>
  </si>
  <si>
    <t>15-Sep-2025</t>
  </si>
  <si>
    <t>September</t>
  </si>
  <si>
    <t>Coca-Cola</t>
  </si>
  <si>
    <t>Coca-Cola Original</t>
  </si>
  <si>
    <t>Cola</t>
  </si>
  <si>
    <t>Kolkata</t>
  </si>
  <si>
    <t>Sprite</t>
  </si>
  <si>
    <t>Soda</t>
  </si>
  <si>
    <t>Barasat</t>
  </si>
  <si>
    <t>PepsiCo</t>
  </si>
  <si>
    <t>Pepsi</t>
  </si>
  <si>
    <t>Delhi</t>
  </si>
  <si>
    <t>Mountain Dew</t>
  </si>
  <si>
    <t>Mumbai</t>
  </si>
  <si>
    <t>Parle Agro</t>
  </si>
  <si>
    <t>Frooti</t>
  </si>
  <si>
    <t>Juice</t>
  </si>
  <si>
    <t>Bangalore</t>
  </si>
  <si>
    <t>Bisleri</t>
  </si>
  <si>
    <t>Bisleri Soda</t>
  </si>
  <si>
    <t>Red Bull GmbH</t>
  </si>
  <si>
    <t>Red Bull</t>
  </si>
  <si>
    <t>Red Bull Energy</t>
  </si>
  <si>
    <t>Energy</t>
  </si>
  <si>
    <t>Dabur</t>
  </si>
  <si>
    <t>Real</t>
  </si>
  <si>
    <t>Real Fruit Juice</t>
  </si>
  <si>
    <t>ITC</t>
  </si>
  <si>
    <t>B Natural</t>
  </si>
  <si>
    <t>B Natural Juice</t>
  </si>
  <si>
    <t>15-Oct-2025</t>
  </si>
  <si>
    <t>October</t>
  </si>
  <si>
    <t>15-Nov-2025</t>
  </si>
  <si>
    <t>November</t>
  </si>
  <si>
    <t>15-Dec-2025</t>
  </si>
  <si>
    <t>December</t>
  </si>
  <si>
    <t>15-Jan-2026</t>
  </si>
  <si>
    <t>January</t>
  </si>
  <si>
    <t>Total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</si>
</sst>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s%20Data%20(Sep%202025%20-%20Jan%202026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ata (Sep 2025 - Jan 202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workbookViewId="0">
      <selection activeCell="L35" sqref="L35"/>
    </sheetView>
  </sheetViews>
  <sheetFormatPr defaultRowHeight="14.25" x14ac:dyDescent="0.45"/>
  <cols>
    <col min="1" max="1" width="14" customWidth="1"/>
    <col min="2" max="2" width="12" customWidth="1"/>
    <col min="3" max="3" width="7" customWidth="1"/>
    <col min="4" max="4" width="16" customWidth="1"/>
    <col min="5" max="5" width="15" customWidth="1"/>
    <col min="6" max="6" width="21" customWidth="1"/>
    <col min="7" max="7" width="11" customWidth="1"/>
    <col min="8" max="8" width="19" customWidth="1"/>
    <col min="9" max="9" width="17" customWidth="1"/>
    <col min="10" max="10" width="13" customWidth="1"/>
    <col min="11" max="11" width="20" customWidth="1"/>
    <col min="12" max="12" width="12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>
        <v>2025</v>
      </c>
      <c r="D2" t="s">
        <v>14</v>
      </c>
      <c r="E2" t="s">
        <v>14</v>
      </c>
      <c r="F2" t="s">
        <v>15</v>
      </c>
      <c r="G2" t="s">
        <v>16</v>
      </c>
      <c r="H2">
        <v>500</v>
      </c>
      <c r="I2">
        <v>40</v>
      </c>
      <c r="J2">
        <v>200</v>
      </c>
      <c r="K2">
        <f t="shared" ref="K2:K46" si="0">I2*J2</f>
        <v>8000</v>
      </c>
      <c r="L2" t="s">
        <v>17</v>
      </c>
    </row>
    <row r="3" spans="1:12" x14ac:dyDescent="0.45">
      <c r="A3" t="s">
        <v>12</v>
      </c>
      <c r="B3" t="s">
        <v>13</v>
      </c>
      <c r="C3">
        <v>2025</v>
      </c>
      <c r="D3" t="s">
        <v>14</v>
      </c>
      <c r="E3" t="s">
        <v>18</v>
      </c>
      <c r="F3" t="s">
        <v>18</v>
      </c>
      <c r="G3" t="s">
        <v>19</v>
      </c>
      <c r="H3">
        <v>500</v>
      </c>
      <c r="I3">
        <v>40</v>
      </c>
      <c r="J3">
        <v>250</v>
      </c>
      <c r="K3">
        <f t="shared" si="0"/>
        <v>10000</v>
      </c>
      <c r="L3" t="s">
        <v>20</v>
      </c>
    </row>
    <row r="4" spans="1:12" x14ac:dyDescent="0.45">
      <c r="A4" t="s">
        <v>12</v>
      </c>
      <c r="B4" t="s">
        <v>13</v>
      </c>
      <c r="C4">
        <v>2025</v>
      </c>
      <c r="D4" t="s">
        <v>21</v>
      </c>
      <c r="E4" t="s">
        <v>22</v>
      </c>
      <c r="F4" t="s">
        <v>22</v>
      </c>
      <c r="G4" t="s">
        <v>16</v>
      </c>
      <c r="H4">
        <v>500</v>
      </c>
      <c r="I4">
        <v>40</v>
      </c>
      <c r="J4">
        <v>300</v>
      </c>
      <c r="K4">
        <f t="shared" si="0"/>
        <v>12000</v>
      </c>
      <c r="L4" t="s">
        <v>23</v>
      </c>
    </row>
    <row r="5" spans="1:12" x14ac:dyDescent="0.45">
      <c r="A5" t="s">
        <v>12</v>
      </c>
      <c r="B5" t="s">
        <v>13</v>
      </c>
      <c r="C5">
        <v>2025</v>
      </c>
      <c r="D5" t="s">
        <v>21</v>
      </c>
      <c r="E5" t="s">
        <v>24</v>
      </c>
      <c r="F5" t="s">
        <v>24</v>
      </c>
      <c r="G5" t="s">
        <v>19</v>
      </c>
      <c r="H5">
        <v>500</v>
      </c>
      <c r="I5">
        <v>45</v>
      </c>
      <c r="J5">
        <v>350</v>
      </c>
      <c r="K5">
        <f t="shared" si="0"/>
        <v>15750</v>
      </c>
      <c r="L5" t="s">
        <v>25</v>
      </c>
    </row>
    <row r="6" spans="1:12" x14ac:dyDescent="0.45">
      <c r="A6" t="s">
        <v>12</v>
      </c>
      <c r="B6" t="s">
        <v>13</v>
      </c>
      <c r="C6">
        <v>2025</v>
      </c>
      <c r="D6" t="s">
        <v>26</v>
      </c>
      <c r="E6" t="s">
        <v>27</v>
      </c>
      <c r="F6" t="s">
        <v>27</v>
      </c>
      <c r="G6" t="s">
        <v>28</v>
      </c>
      <c r="H6">
        <v>500</v>
      </c>
      <c r="I6">
        <v>35</v>
      </c>
      <c r="J6">
        <v>400</v>
      </c>
      <c r="K6">
        <f t="shared" si="0"/>
        <v>14000</v>
      </c>
      <c r="L6" t="s">
        <v>29</v>
      </c>
    </row>
    <row r="7" spans="1:12" x14ac:dyDescent="0.45">
      <c r="A7" t="s">
        <v>12</v>
      </c>
      <c r="B7" t="s">
        <v>13</v>
      </c>
      <c r="C7">
        <v>2025</v>
      </c>
      <c r="D7" t="s">
        <v>30</v>
      </c>
      <c r="E7" t="s">
        <v>31</v>
      </c>
      <c r="F7" t="s">
        <v>31</v>
      </c>
      <c r="G7" t="s">
        <v>19</v>
      </c>
      <c r="H7">
        <v>500</v>
      </c>
      <c r="I7">
        <v>30</v>
      </c>
      <c r="J7">
        <v>450</v>
      </c>
      <c r="K7">
        <f t="shared" si="0"/>
        <v>13500</v>
      </c>
      <c r="L7" t="s">
        <v>17</v>
      </c>
    </row>
    <row r="8" spans="1:12" x14ac:dyDescent="0.45">
      <c r="A8" t="s">
        <v>12</v>
      </c>
      <c r="B8" t="s">
        <v>13</v>
      </c>
      <c r="C8">
        <v>2025</v>
      </c>
      <c r="D8" t="s">
        <v>32</v>
      </c>
      <c r="E8" t="s">
        <v>33</v>
      </c>
      <c r="F8" t="s">
        <v>34</v>
      </c>
      <c r="G8" t="s">
        <v>35</v>
      </c>
      <c r="H8">
        <v>250</v>
      </c>
      <c r="I8">
        <v>110</v>
      </c>
      <c r="J8">
        <v>500</v>
      </c>
      <c r="K8">
        <f t="shared" si="0"/>
        <v>55000</v>
      </c>
      <c r="L8" t="s">
        <v>20</v>
      </c>
    </row>
    <row r="9" spans="1:12" x14ac:dyDescent="0.45">
      <c r="A9" t="s">
        <v>12</v>
      </c>
      <c r="B9" t="s">
        <v>13</v>
      </c>
      <c r="C9">
        <v>2025</v>
      </c>
      <c r="D9" t="s">
        <v>36</v>
      </c>
      <c r="E9" t="s">
        <v>37</v>
      </c>
      <c r="F9" t="s">
        <v>38</v>
      </c>
      <c r="G9" t="s">
        <v>28</v>
      </c>
      <c r="H9">
        <v>500</v>
      </c>
      <c r="I9">
        <v>60</v>
      </c>
      <c r="J9">
        <v>550</v>
      </c>
      <c r="K9">
        <f t="shared" si="0"/>
        <v>33000</v>
      </c>
      <c r="L9" t="s">
        <v>23</v>
      </c>
    </row>
    <row r="10" spans="1:12" x14ac:dyDescent="0.45">
      <c r="A10" t="s">
        <v>12</v>
      </c>
      <c r="B10" t="s">
        <v>13</v>
      </c>
      <c r="C10">
        <v>2025</v>
      </c>
      <c r="D10" t="s">
        <v>39</v>
      </c>
      <c r="E10" t="s">
        <v>40</v>
      </c>
      <c r="F10" t="s">
        <v>41</v>
      </c>
      <c r="G10" t="s">
        <v>28</v>
      </c>
      <c r="H10">
        <v>500</v>
      </c>
      <c r="I10">
        <v>55</v>
      </c>
      <c r="J10">
        <v>600</v>
      </c>
      <c r="K10">
        <f t="shared" si="0"/>
        <v>33000</v>
      </c>
      <c r="L10" t="s">
        <v>25</v>
      </c>
    </row>
    <row r="11" spans="1:12" x14ac:dyDescent="0.45">
      <c r="A11" t="s">
        <v>42</v>
      </c>
      <c r="B11" t="s">
        <v>43</v>
      </c>
      <c r="C11">
        <v>2025</v>
      </c>
      <c r="D11" t="s">
        <v>14</v>
      </c>
      <c r="E11" t="s">
        <v>14</v>
      </c>
      <c r="F11" t="s">
        <v>15</v>
      </c>
      <c r="G11" t="s">
        <v>16</v>
      </c>
      <c r="H11">
        <v>500</v>
      </c>
      <c r="I11">
        <v>40</v>
      </c>
      <c r="J11">
        <v>200</v>
      </c>
      <c r="K11">
        <f t="shared" si="0"/>
        <v>8000</v>
      </c>
      <c r="L11" t="s">
        <v>17</v>
      </c>
    </row>
    <row r="12" spans="1:12" x14ac:dyDescent="0.45">
      <c r="A12" t="s">
        <v>42</v>
      </c>
      <c r="B12" t="s">
        <v>43</v>
      </c>
      <c r="C12">
        <v>2025</v>
      </c>
      <c r="D12" t="s">
        <v>14</v>
      </c>
      <c r="E12" t="s">
        <v>18</v>
      </c>
      <c r="F12" t="s">
        <v>18</v>
      </c>
      <c r="G12" t="s">
        <v>19</v>
      </c>
      <c r="H12">
        <v>500</v>
      </c>
      <c r="I12">
        <v>40</v>
      </c>
      <c r="J12">
        <v>250</v>
      </c>
      <c r="K12">
        <f t="shared" si="0"/>
        <v>10000</v>
      </c>
      <c r="L12" t="s">
        <v>20</v>
      </c>
    </row>
    <row r="13" spans="1:12" x14ac:dyDescent="0.45">
      <c r="A13" t="s">
        <v>42</v>
      </c>
      <c r="B13" t="s">
        <v>43</v>
      </c>
      <c r="C13">
        <v>2025</v>
      </c>
      <c r="D13" t="s">
        <v>21</v>
      </c>
      <c r="E13" t="s">
        <v>22</v>
      </c>
      <c r="F13" t="s">
        <v>22</v>
      </c>
      <c r="G13" t="s">
        <v>16</v>
      </c>
      <c r="H13">
        <v>500</v>
      </c>
      <c r="I13">
        <v>40</v>
      </c>
      <c r="J13">
        <v>300</v>
      </c>
      <c r="K13">
        <f t="shared" si="0"/>
        <v>12000</v>
      </c>
      <c r="L13" t="s">
        <v>23</v>
      </c>
    </row>
    <row r="14" spans="1:12" x14ac:dyDescent="0.45">
      <c r="A14" t="s">
        <v>42</v>
      </c>
      <c r="B14" t="s">
        <v>43</v>
      </c>
      <c r="C14">
        <v>2025</v>
      </c>
      <c r="D14" t="s">
        <v>21</v>
      </c>
      <c r="E14" t="s">
        <v>24</v>
      </c>
      <c r="F14" t="s">
        <v>24</v>
      </c>
      <c r="G14" t="s">
        <v>19</v>
      </c>
      <c r="H14">
        <v>500</v>
      </c>
      <c r="I14">
        <v>45</v>
      </c>
      <c r="J14">
        <v>350</v>
      </c>
      <c r="K14">
        <f t="shared" si="0"/>
        <v>15750</v>
      </c>
      <c r="L14" t="s">
        <v>25</v>
      </c>
    </row>
    <row r="15" spans="1:12" x14ac:dyDescent="0.45">
      <c r="A15" t="s">
        <v>42</v>
      </c>
      <c r="B15" t="s">
        <v>43</v>
      </c>
      <c r="C15">
        <v>2025</v>
      </c>
      <c r="D15" t="s">
        <v>26</v>
      </c>
      <c r="E15" t="s">
        <v>27</v>
      </c>
      <c r="F15" t="s">
        <v>27</v>
      </c>
      <c r="G15" t="s">
        <v>28</v>
      </c>
      <c r="H15">
        <v>500</v>
      </c>
      <c r="I15">
        <v>35</v>
      </c>
      <c r="J15">
        <v>400</v>
      </c>
      <c r="K15">
        <f t="shared" si="0"/>
        <v>14000</v>
      </c>
      <c r="L15" t="s">
        <v>29</v>
      </c>
    </row>
    <row r="16" spans="1:12" x14ac:dyDescent="0.45">
      <c r="A16" t="s">
        <v>42</v>
      </c>
      <c r="B16" t="s">
        <v>43</v>
      </c>
      <c r="C16">
        <v>2025</v>
      </c>
      <c r="D16" t="s">
        <v>30</v>
      </c>
      <c r="E16" t="s">
        <v>31</v>
      </c>
      <c r="F16" t="s">
        <v>31</v>
      </c>
      <c r="G16" t="s">
        <v>19</v>
      </c>
      <c r="H16">
        <v>500</v>
      </c>
      <c r="I16">
        <v>30</v>
      </c>
      <c r="J16">
        <v>450</v>
      </c>
      <c r="K16">
        <f t="shared" si="0"/>
        <v>13500</v>
      </c>
      <c r="L16" t="s">
        <v>17</v>
      </c>
    </row>
    <row r="17" spans="1:12" x14ac:dyDescent="0.45">
      <c r="A17" t="s">
        <v>42</v>
      </c>
      <c r="B17" t="s">
        <v>43</v>
      </c>
      <c r="C17">
        <v>2025</v>
      </c>
      <c r="D17" t="s">
        <v>32</v>
      </c>
      <c r="E17" t="s">
        <v>33</v>
      </c>
      <c r="F17" t="s">
        <v>34</v>
      </c>
      <c r="G17" t="s">
        <v>35</v>
      </c>
      <c r="H17">
        <v>250</v>
      </c>
      <c r="I17">
        <v>110</v>
      </c>
      <c r="J17">
        <v>500</v>
      </c>
      <c r="K17">
        <f t="shared" si="0"/>
        <v>55000</v>
      </c>
      <c r="L17" t="s">
        <v>20</v>
      </c>
    </row>
    <row r="18" spans="1:12" x14ac:dyDescent="0.45">
      <c r="A18" t="s">
        <v>42</v>
      </c>
      <c r="B18" t="s">
        <v>43</v>
      </c>
      <c r="C18">
        <v>2025</v>
      </c>
      <c r="D18" t="s">
        <v>36</v>
      </c>
      <c r="E18" t="s">
        <v>37</v>
      </c>
      <c r="F18" t="s">
        <v>38</v>
      </c>
      <c r="G18" t="s">
        <v>28</v>
      </c>
      <c r="H18">
        <v>500</v>
      </c>
      <c r="I18">
        <v>60</v>
      </c>
      <c r="J18">
        <v>550</v>
      </c>
      <c r="K18">
        <f t="shared" si="0"/>
        <v>33000</v>
      </c>
      <c r="L18" t="s">
        <v>23</v>
      </c>
    </row>
    <row r="19" spans="1:12" x14ac:dyDescent="0.45">
      <c r="A19" t="s">
        <v>42</v>
      </c>
      <c r="B19" t="s">
        <v>43</v>
      </c>
      <c r="C19">
        <v>2025</v>
      </c>
      <c r="D19" t="s">
        <v>39</v>
      </c>
      <c r="E19" t="s">
        <v>40</v>
      </c>
      <c r="F19" t="s">
        <v>41</v>
      </c>
      <c r="G19" t="s">
        <v>28</v>
      </c>
      <c r="H19">
        <v>500</v>
      </c>
      <c r="I19">
        <v>55</v>
      </c>
      <c r="J19">
        <v>600</v>
      </c>
      <c r="K19">
        <f t="shared" si="0"/>
        <v>33000</v>
      </c>
      <c r="L19" t="s">
        <v>25</v>
      </c>
    </row>
    <row r="20" spans="1:12" x14ac:dyDescent="0.45">
      <c r="A20" t="s">
        <v>44</v>
      </c>
      <c r="B20" t="s">
        <v>45</v>
      </c>
      <c r="C20">
        <v>2025</v>
      </c>
      <c r="D20" t="s">
        <v>14</v>
      </c>
      <c r="E20" t="s">
        <v>14</v>
      </c>
      <c r="F20" t="s">
        <v>15</v>
      </c>
      <c r="G20" t="s">
        <v>16</v>
      </c>
      <c r="H20">
        <v>500</v>
      </c>
      <c r="I20">
        <v>40</v>
      </c>
      <c r="J20">
        <v>200</v>
      </c>
      <c r="K20">
        <f t="shared" si="0"/>
        <v>8000</v>
      </c>
      <c r="L20" t="s">
        <v>17</v>
      </c>
    </row>
    <row r="21" spans="1:12" x14ac:dyDescent="0.45">
      <c r="A21" t="s">
        <v>44</v>
      </c>
      <c r="B21" t="s">
        <v>45</v>
      </c>
      <c r="C21">
        <v>2025</v>
      </c>
      <c r="D21" t="s">
        <v>14</v>
      </c>
      <c r="E21" t="s">
        <v>18</v>
      </c>
      <c r="F21" t="s">
        <v>18</v>
      </c>
      <c r="G21" t="s">
        <v>19</v>
      </c>
      <c r="H21">
        <v>500</v>
      </c>
      <c r="I21">
        <v>40</v>
      </c>
      <c r="J21">
        <v>250</v>
      </c>
      <c r="K21">
        <f t="shared" si="0"/>
        <v>10000</v>
      </c>
      <c r="L21" t="s">
        <v>20</v>
      </c>
    </row>
    <row r="22" spans="1:12" x14ac:dyDescent="0.45">
      <c r="A22" t="s">
        <v>44</v>
      </c>
      <c r="B22" t="s">
        <v>45</v>
      </c>
      <c r="C22">
        <v>2025</v>
      </c>
      <c r="D22" t="s">
        <v>21</v>
      </c>
      <c r="E22" t="s">
        <v>22</v>
      </c>
      <c r="F22" t="s">
        <v>22</v>
      </c>
      <c r="G22" t="s">
        <v>16</v>
      </c>
      <c r="H22">
        <v>500</v>
      </c>
      <c r="I22">
        <v>40</v>
      </c>
      <c r="J22">
        <v>300</v>
      </c>
      <c r="K22">
        <f t="shared" si="0"/>
        <v>12000</v>
      </c>
      <c r="L22" t="s">
        <v>23</v>
      </c>
    </row>
    <row r="23" spans="1:12" x14ac:dyDescent="0.45">
      <c r="A23" t="s">
        <v>44</v>
      </c>
      <c r="B23" t="s">
        <v>45</v>
      </c>
      <c r="C23">
        <v>2025</v>
      </c>
      <c r="D23" t="s">
        <v>21</v>
      </c>
      <c r="E23" t="s">
        <v>24</v>
      </c>
      <c r="F23" t="s">
        <v>24</v>
      </c>
      <c r="G23" t="s">
        <v>19</v>
      </c>
      <c r="H23">
        <v>500</v>
      </c>
      <c r="I23">
        <v>45</v>
      </c>
      <c r="J23">
        <v>350</v>
      </c>
      <c r="K23">
        <f t="shared" si="0"/>
        <v>15750</v>
      </c>
      <c r="L23" t="s">
        <v>25</v>
      </c>
    </row>
    <row r="24" spans="1:12" x14ac:dyDescent="0.45">
      <c r="A24" t="s">
        <v>44</v>
      </c>
      <c r="B24" t="s">
        <v>45</v>
      </c>
      <c r="C24">
        <v>2025</v>
      </c>
      <c r="D24" t="s">
        <v>26</v>
      </c>
      <c r="E24" t="s">
        <v>27</v>
      </c>
      <c r="F24" t="s">
        <v>27</v>
      </c>
      <c r="G24" t="s">
        <v>28</v>
      </c>
      <c r="H24">
        <v>500</v>
      </c>
      <c r="I24">
        <v>35</v>
      </c>
      <c r="J24">
        <v>400</v>
      </c>
      <c r="K24">
        <f t="shared" si="0"/>
        <v>14000</v>
      </c>
      <c r="L24" t="s">
        <v>29</v>
      </c>
    </row>
    <row r="25" spans="1:12" x14ac:dyDescent="0.45">
      <c r="A25" t="s">
        <v>44</v>
      </c>
      <c r="B25" t="s">
        <v>45</v>
      </c>
      <c r="C25">
        <v>2025</v>
      </c>
      <c r="D25" t="s">
        <v>30</v>
      </c>
      <c r="E25" t="s">
        <v>31</v>
      </c>
      <c r="F25" t="s">
        <v>31</v>
      </c>
      <c r="G25" t="s">
        <v>19</v>
      </c>
      <c r="H25">
        <v>500</v>
      </c>
      <c r="I25">
        <v>30</v>
      </c>
      <c r="J25">
        <v>450</v>
      </c>
      <c r="K25">
        <f t="shared" si="0"/>
        <v>13500</v>
      </c>
      <c r="L25" t="s">
        <v>17</v>
      </c>
    </row>
    <row r="26" spans="1:12" x14ac:dyDescent="0.45">
      <c r="A26" t="s">
        <v>44</v>
      </c>
      <c r="B26" t="s">
        <v>45</v>
      </c>
      <c r="C26">
        <v>2025</v>
      </c>
      <c r="D26" t="s">
        <v>32</v>
      </c>
      <c r="E26" t="s">
        <v>33</v>
      </c>
      <c r="F26" t="s">
        <v>34</v>
      </c>
      <c r="G26" t="s">
        <v>35</v>
      </c>
      <c r="H26">
        <v>250</v>
      </c>
      <c r="I26">
        <v>110</v>
      </c>
      <c r="J26">
        <v>500</v>
      </c>
      <c r="K26">
        <f t="shared" si="0"/>
        <v>55000</v>
      </c>
      <c r="L26" t="s">
        <v>20</v>
      </c>
    </row>
    <row r="27" spans="1:12" x14ac:dyDescent="0.45">
      <c r="A27" t="s">
        <v>44</v>
      </c>
      <c r="B27" t="s">
        <v>45</v>
      </c>
      <c r="C27">
        <v>2025</v>
      </c>
      <c r="D27" t="s">
        <v>36</v>
      </c>
      <c r="E27" t="s">
        <v>37</v>
      </c>
      <c r="F27" t="s">
        <v>38</v>
      </c>
      <c r="G27" t="s">
        <v>28</v>
      </c>
      <c r="H27">
        <v>500</v>
      </c>
      <c r="I27">
        <v>60</v>
      </c>
      <c r="J27">
        <v>550</v>
      </c>
      <c r="K27">
        <f t="shared" si="0"/>
        <v>33000</v>
      </c>
      <c r="L27" t="s">
        <v>23</v>
      </c>
    </row>
    <row r="28" spans="1:12" x14ac:dyDescent="0.45">
      <c r="A28" t="s">
        <v>44</v>
      </c>
      <c r="B28" t="s">
        <v>45</v>
      </c>
      <c r="C28">
        <v>2025</v>
      </c>
      <c r="D28" t="s">
        <v>39</v>
      </c>
      <c r="E28" t="s">
        <v>40</v>
      </c>
      <c r="F28" t="s">
        <v>41</v>
      </c>
      <c r="G28" t="s">
        <v>28</v>
      </c>
      <c r="H28">
        <v>500</v>
      </c>
      <c r="I28">
        <v>55</v>
      </c>
      <c r="J28">
        <v>600</v>
      </c>
      <c r="K28">
        <f t="shared" si="0"/>
        <v>33000</v>
      </c>
      <c r="L28" t="s">
        <v>25</v>
      </c>
    </row>
    <row r="29" spans="1:12" x14ac:dyDescent="0.45">
      <c r="A29" t="s">
        <v>46</v>
      </c>
      <c r="B29" t="s">
        <v>47</v>
      </c>
      <c r="C29">
        <v>2025</v>
      </c>
      <c r="D29" t="s">
        <v>14</v>
      </c>
      <c r="E29" t="s">
        <v>14</v>
      </c>
      <c r="F29" t="s">
        <v>15</v>
      </c>
      <c r="G29" t="s">
        <v>16</v>
      </c>
      <c r="H29">
        <v>500</v>
      </c>
      <c r="I29">
        <v>40</v>
      </c>
      <c r="J29">
        <v>200</v>
      </c>
      <c r="K29">
        <f t="shared" si="0"/>
        <v>8000</v>
      </c>
      <c r="L29" t="s">
        <v>17</v>
      </c>
    </row>
    <row r="30" spans="1:12" x14ac:dyDescent="0.45">
      <c r="A30" t="s">
        <v>46</v>
      </c>
      <c r="B30" t="s">
        <v>47</v>
      </c>
      <c r="C30">
        <v>2025</v>
      </c>
      <c r="D30" t="s">
        <v>14</v>
      </c>
      <c r="E30" t="s">
        <v>18</v>
      </c>
      <c r="F30" t="s">
        <v>18</v>
      </c>
      <c r="G30" t="s">
        <v>19</v>
      </c>
      <c r="H30">
        <v>500</v>
      </c>
      <c r="I30">
        <v>40</v>
      </c>
      <c r="J30">
        <v>250</v>
      </c>
      <c r="K30">
        <f t="shared" si="0"/>
        <v>10000</v>
      </c>
      <c r="L30" t="s">
        <v>20</v>
      </c>
    </row>
    <row r="31" spans="1:12" x14ac:dyDescent="0.45">
      <c r="A31" t="s">
        <v>46</v>
      </c>
      <c r="B31" t="s">
        <v>47</v>
      </c>
      <c r="C31">
        <v>2025</v>
      </c>
      <c r="D31" t="s">
        <v>21</v>
      </c>
      <c r="E31" t="s">
        <v>22</v>
      </c>
      <c r="F31" t="s">
        <v>22</v>
      </c>
      <c r="G31" t="s">
        <v>16</v>
      </c>
      <c r="H31">
        <v>500</v>
      </c>
      <c r="I31">
        <v>40</v>
      </c>
      <c r="J31">
        <v>300</v>
      </c>
      <c r="K31">
        <f t="shared" si="0"/>
        <v>12000</v>
      </c>
      <c r="L31" t="s">
        <v>23</v>
      </c>
    </row>
    <row r="32" spans="1:12" x14ac:dyDescent="0.45">
      <c r="A32" t="s">
        <v>46</v>
      </c>
      <c r="B32" t="s">
        <v>47</v>
      </c>
      <c r="C32">
        <v>2025</v>
      </c>
      <c r="D32" t="s">
        <v>21</v>
      </c>
      <c r="E32" t="s">
        <v>24</v>
      </c>
      <c r="F32" t="s">
        <v>24</v>
      </c>
      <c r="G32" t="s">
        <v>19</v>
      </c>
      <c r="H32">
        <v>500</v>
      </c>
      <c r="I32">
        <v>45</v>
      </c>
      <c r="J32">
        <v>350</v>
      </c>
      <c r="K32">
        <f t="shared" si="0"/>
        <v>15750</v>
      </c>
      <c r="L32" t="s">
        <v>25</v>
      </c>
    </row>
    <row r="33" spans="1:12" x14ac:dyDescent="0.45">
      <c r="A33" t="s">
        <v>46</v>
      </c>
      <c r="B33" t="s">
        <v>47</v>
      </c>
      <c r="C33">
        <v>2025</v>
      </c>
      <c r="D33" t="s">
        <v>26</v>
      </c>
      <c r="E33" t="s">
        <v>27</v>
      </c>
      <c r="F33" t="s">
        <v>27</v>
      </c>
      <c r="G33" t="s">
        <v>28</v>
      </c>
      <c r="H33">
        <v>500</v>
      </c>
      <c r="I33">
        <v>35</v>
      </c>
      <c r="J33">
        <v>400</v>
      </c>
      <c r="K33">
        <f t="shared" si="0"/>
        <v>14000</v>
      </c>
      <c r="L33" t="s">
        <v>29</v>
      </c>
    </row>
    <row r="34" spans="1:12" x14ac:dyDescent="0.45">
      <c r="A34" t="s">
        <v>46</v>
      </c>
      <c r="B34" t="s">
        <v>47</v>
      </c>
      <c r="C34">
        <v>2025</v>
      </c>
      <c r="D34" t="s">
        <v>30</v>
      </c>
      <c r="E34" t="s">
        <v>31</v>
      </c>
      <c r="F34" t="s">
        <v>31</v>
      </c>
      <c r="G34" t="s">
        <v>19</v>
      </c>
      <c r="H34">
        <v>500</v>
      </c>
      <c r="I34">
        <v>30</v>
      </c>
      <c r="J34">
        <v>450</v>
      </c>
      <c r="K34">
        <f t="shared" si="0"/>
        <v>13500</v>
      </c>
      <c r="L34" t="s">
        <v>17</v>
      </c>
    </row>
    <row r="35" spans="1:12" x14ac:dyDescent="0.45">
      <c r="A35" t="s">
        <v>46</v>
      </c>
      <c r="B35" t="s">
        <v>47</v>
      </c>
      <c r="C35">
        <v>2025</v>
      </c>
      <c r="D35" t="s">
        <v>32</v>
      </c>
      <c r="E35" t="s">
        <v>33</v>
      </c>
      <c r="F35" t="s">
        <v>34</v>
      </c>
      <c r="G35" t="s">
        <v>35</v>
      </c>
      <c r="H35">
        <v>250</v>
      </c>
      <c r="I35">
        <v>110</v>
      </c>
      <c r="J35">
        <v>500</v>
      </c>
      <c r="K35">
        <f t="shared" si="0"/>
        <v>55000</v>
      </c>
      <c r="L35" t="s">
        <v>20</v>
      </c>
    </row>
    <row r="36" spans="1:12" x14ac:dyDescent="0.45">
      <c r="A36" t="s">
        <v>46</v>
      </c>
      <c r="B36" t="s">
        <v>47</v>
      </c>
      <c r="C36">
        <v>2025</v>
      </c>
      <c r="D36" t="s">
        <v>36</v>
      </c>
      <c r="E36" t="s">
        <v>37</v>
      </c>
      <c r="F36" t="s">
        <v>38</v>
      </c>
      <c r="G36" t="s">
        <v>28</v>
      </c>
      <c r="H36">
        <v>500</v>
      </c>
      <c r="I36">
        <v>60</v>
      </c>
      <c r="J36">
        <v>550</v>
      </c>
      <c r="K36">
        <f t="shared" si="0"/>
        <v>33000</v>
      </c>
      <c r="L36" t="s">
        <v>23</v>
      </c>
    </row>
    <row r="37" spans="1:12" x14ac:dyDescent="0.45">
      <c r="A37" t="s">
        <v>46</v>
      </c>
      <c r="B37" t="s">
        <v>47</v>
      </c>
      <c r="C37">
        <v>2025</v>
      </c>
      <c r="D37" t="s">
        <v>39</v>
      </c>
      <c r="E37" t="s">
        <v>40</v>
      </c>
      <c r="F37" t="s">
        <v>41</v>
      </c>
      <c r="G37" t="s">
        <v>28</v>
      </c>
      <c r="H37">
        <v>500</v>
      </c>
      <c r="I37">
        <v>55</v>
      </c>
      <c r="J37">
        <v>600</v>
      </c>
      <c r="K37">
        <f t="shared" si="0"/>
        <v>33000</v>
      </c>
      <c r="L37" t="s">
        <v>25</v>
      </c>
    </row>
    <row r="38" spans="1:12" x14ac:dyDescent="0.45">
      <c r="A38" t="s">
        <v>48</v>
      </c>
      <c r="B38" t="s">
        <v>49</v>
      </c>
      <c r="C38">
        <v>2026</v>
      </c>
      <c r="D38" t="s">
        <v>14</v>
      </c>
      <c r="E38" t="s">
        <v>14</v>
      </c>
      <c r="F38" t="s">
        <v>15</v>
      </c>
      <c r="G38" t="s">
        <v>16</v>
      </c>
      <c r="H38">
        <v>500</v>
      </c>
      <c r="I38">
        <v>40</v>
      </c>
      <c r="J38">
        <v>220</v>
      </c>
      <c r="K38">
        <f t="shared" si="0"/>
        <v>8800</v>
      </c>
      <c r="L38" t="s">
        <v>17</v>
      </c>
    </row>
    <row r="39" spans="1:12" x14ac:dyDescent="0.45">
      <c r="A39" t="s">
        <v>48</v>
      </c>
      <c r="B39" t="s">
        <v>49</v>
      </c>
      <c r="C39">
        <v>2026</v>
      </c>
      <c r="D39" t="s">
        <v>14</v>
      </c>
      <c r="E39" t="s">
        <v>18</v>
      </c>
      <c r="F39" t="s">
        <v>18</v>
      </c>
      <c r="G39" t="s">
        <v>19</v>
      </c>
      <c r="H39">
        <v>500</v>
      </c>
      <c r="I39">
        <v>40</v>
      </c>
      <c r="J39">
        <v>270</v>
      </c>
      <c r="K39">
        <f t="shared" si="0"/>
        <v>10800</v>
      </c>
      <c r="L39" t="s">
        <v>20</v>
      </c>
    </row>
    <row r="40" spans="1:12" x14ac:dyDescent="0.45">
      <c r="A40" t="s">
        <v>48</v>
      </c>
      <c r="B40" t="s">
        <v>49</v>
      </c>
      <c r="C40">
        <v>2026</v>
      </c>
      <c r="D40" t="s">
        <v>21</v>
      </c>
      <c r="E40" t="s">
        <v>22</v>
      </c>
      <c r="F40" t="s">
        <v>22</v>
      </c>
      <c r="G40" t="s">
        <v>16</v>
      </c>
      <c r="H40">
        <v>500</v>
      </c>
      <c r="I40">
        <v>40</v>
      </c>
      <c r="J40">
        <v>320</v>
      </c>
      <c r="K40">
        <f t="shared" si="0"/>
        <v>12800</v>
      </c>
      <c r="L40" t="s">
        <v>23</v>
      </c>
    </row>
    <row r="41" spans="1:12" x14ac:dyDescent="0.45">
      <c r="A41" t="s">
        <v>48</v>
      </c>
      <c r="B41" t="s">
        <v>49</v>
      </c>
      <c r="C41">
        <v>2026</v>
      </c>
      <c r="D41" t="s">
        <v>21</v>
      </c>
      <c r="E41" t="s">
        <v>24</v>
      </c>
      <c r="F41" t="s">
        <v>24</v>
      </c>
      <c r="G41" t="s">
        <v>19</v>
      </c>
      <c r="H41">
        <v>500</v>
      </c>
      <c r="I41">
        <v>45</v>
      </c>
      <c r="J41">
        <v>370</v>
      </c>
      <c r="K41">
        <f t="shared" si="0"/>
        <v>16650</v>
      </c>
      <c r="L41" t="s">
        <v>25</v>
      </c>
    </row>
    <row r="42" spans="1:12" x14ac:dyDescent="0.45">
      <c r="A42" t="s">
        <v>48</v>
      </c>
      <c r="B42" t="s">
        <v>49</v>
      </c>
      <c r="C42">
        <v>2026</v>
      </c>
      <c r="D42" t="s">
        <v>26</v>
      </c>
      <c r="E42" t="s">
        <v>27</v>
      </c>
      <c r="F42" t="s">
        <v>27</v>
      </c>
      <c r="G42" t="s">
        <v>28</v>
      </c>
      <c r="H42">
        <v>500</v>
      </c>
      <c r="I42">
        <v>35</v>
      </c>
      <c r="J42">
        <v>420</v>
      </c>
      <c r="K42">
        <f t="shared" si="0"/>
        <v>14700</v>
      </c>
      <c r="L42" t="s">
        <v>29</v>
      </c>
    </row>
    <row r="43" spans="1:12" x14ac:dyDescent="0.45">
      <c r="A43" t="s">
        <v>48</v>
      </c>
      <c r="B43" t="s">
        <v>49</v>
      </c>
      <c r="C43">
        <v>2026</v>
      </c>
      <c r="D43" t="s">
        <v>30</v>
      </c>
      <c r="E43" t="s">
        <v>31</v>
      </c>
      <c r="F43" t="s">
        <v>31</v>
      </c>
      <c r="G43" t="s">
        <v>19</v>
      </c>
      <c r="H43">
        <v>500</v>
      </c>
      <c r="I43">
        <v>30</v>
      </c>
      <c r="J43">
        <v>470</v>
      </c>
      <c r="K43">
        <f t="shared" si="0"/>
        <v>14100</v>
      </c>
      <c r="L43" t="s">
        <v>17</v>
      </c>
    </row>
    <row r="44" spans="1:12" x14ac:dyDescent="0.45">
      <c r="A44" t="s">
        <v>48</v>
      </c>
      <c r="B44" t="s">
        <v>49</v>
      </c>
      <c r="C44">
        <v>2026</v>
      </c>
      <c r="D44" t="s">
        <v>32</v>
      </c>
      <c r="E44" t="s">
        <v>33</v>
      </c>
      <c r="F44" t="s">
        <v>34</v>
      </c>
      <c r="G44" t="s">
        <v>35</v>
      </c>
      <c r="H44">
        <v>250</v>
      </c>
      <c r="I44">
        <v>110</v>
      </c>
      <c r="J44">
        <v>520</v>
      </c>
      <c r="K44">
        <f t="shared" si="0"/>
        <v>57200</v>
      </c>
      <c r="L44" t="s">
        <v>20</v>
      </c>
    </row>
    <row r="45" spans="1:12" x14ac:dyDescent="0.45">
      <c r="A45" t="s">
        <v>48</v>
      </c>
      <c r="B45" t="s">
        <v>49</v>
      </c>
      <c r="C45">
        <v>2026</v>
      </c>
      <c r="D45" t="s">
        <v>36</v>
      </c>
      <c r="E45" t="s">
        <v>37</v>
      </c>
      <c r="F45" t="s">
        <v>38</v>
      </c>
      <c r="G45" t="s">
        <v>28</v>
      </c>
      <c r="H45">
        <v>500</v>
      </c>
      <c r="I45">
        <v>60</v>
      </c>
      <c r="J45">
        <v>570</v>
      </c>
      <c r="K45">
        <f t="shared" si="0"/>
        <v>34200</v>
      </c>
      <c r="L45" t="s">
        <v>23</v>
      </c>
    </row>
    <row r="46" spans="1:12" x14ac:dyDescent="0.45">
      <c r="A46" t="s">
        <v>48</v>
      </c>
      <c r="B46" t="s">
        <v>49</v>
      </c>
      <c r="C46">
        <v>2026</v>
      </c>
      <c r="D46" t="s">
        <v>39</v>
      </c>
      <c r="E46" t="s">
        <v>40</v>
      </c>
      <c r="F46" t="s">
        <v>41</v>
      </c>
      <c r="G46" t="s">
        <v>28</v>
      </c>
      <c r="H46">
        <v>500</v>
      </c>
      <c r="I46">
        <v>55</v>
      </c>
      <c r="J46">
        <v>620</v>
      </c>
      <c r="K46">
        <f t="shared" si="0"/>
        <v>34100</v>
      </c>
      <c r="L4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25" x14ac:dyDescent="0.45"/>
  <cols>
    <col min="1" max="1" width="16" customWidth="1"/>
    <col min="2" max="3" width="91" customWidth="1"/>
  </cols>
  <sheetData>
    <row r="1" spans="1:3" x14ac:dyDescent="0.45">
      <c r="A1" s="1" t="s">
        <v>3</v>
      </c>
      <c r="B1" s="1" t="s">
        <v>50</v>
      </c>
      <c r="C1" s="1" t="s">
        <v>10</v>
      </c>
    </row>
    <row r="2" spans="1:3" x14ac:dyDescent="0.45">
      <c r="A2" t="s">
        <v>14</v>
      </c>
      <c r="B2" t="e">
        <f>SUMIF('[1]Sales Data (Sep 2025 - Jan 2026'!D:D,A2,'[1]Sales Data (Sep 2025 - Jan 2026'!J:J)</f>
        <v>#VALUE!</v>
      </c>
      <c r="C2" t="e">
        <f>SUMIF('[1]Sales Data (Sep 2025 - Jan 2026'!D:D,A2,'[1]Sales Data (Sep 2025 - Jan 2026'!K:K)</f>
        <v>#VALUE!</v>
      </c>
    </row>
    <row r="3" spans="1:3" x14ac:dyDescent="0.45">
      <c r="A3" t="s">
        <v>21</v>
      </c>
      <c r="B3" t="e">
        <f>SUMIF('[1]Sales Data (Sep 2025 - Jan 2026'!D:D,A3,'[1]Sales Data (Sep 2025 - Jan 2026'!J:J)</f>
        <v>#VALUE!</v>
      </c>
      <c r="C3" t="e">
        <f>SUMIF('[1]Sales Data (Sep 2025 - Jan 2026'!D:D,A3,'[1]Sales Data (Sep 2025 - Jan 2026'!K:K)</f>
        <v>#VALUE!</v>
      </c>
    </row>
    <row r="4" spans="1:3" x14ac:dyDescent="0.45">
      <c r="A4" t="s">
        <v>26</v>
      </c>
      <c r="B4" t="e">
        <f>SUMIF('[1]Sales Data (Sep 2025 - Jan 2026'!D:D,A4,'[1]Sales Data (Sep 2025 - Jan 2026'!J:J)</f>
        <v>#VALUE!</v>
      </c>
      <c r="C4" t="e">
        <f>SUMIF('[1]Sales Data (Sep 2025 - Jan 2026'!D:D,A4,'[1]Sales Data (Sep 2025 - Jan 2026'!K:K)</f>
        <v>#VALUE!</v>
      </c>
    </row>
    <row r="5" spans="1:3" x14ac:dyDescent="0.45">
      <c r="A5" t="s">
        <v>30</v>
      </c>
      <c r="B5" t="e">
        <f>SUMIF('[1]Sales Data (Sep 2025 - Jan 2026'!D:D,A5,'[1]Sales Data (Sep 2025 - Jan 2026'!J:J)</f>
        <v>#VALUE!</v>
      </c>
      <c r="C5" t="e">
        <f>SUMIF('[1]Sales Data (Sep 2025 - Jan 2026'!D:D,A5,'[1]Sales Data (Sep 2025 - Jan 2026'!K:K)</f>
        <v>#VALUE!</v>
      </c>
    </row>
    <row r="6" spans="1:3" x14ac:dyDescent="0.45">
      <c r="A6" t="s">
        <v>32</v>
      </c>
      <c r="B6" t="e">
        <f>SUMIF('[1]Sales Data (Sep 2025 - Jan 2026'!D:D,A6,'[1]Sales Data (Sep 2025 - Jan 2026'!J:J)</f>
        <v>#VALUE!</v>
      </c>
      <c r="C6" t="e">
        <f>SUMIF('[1]Sales Data (Sep 2025 - Jan 2026'!D:D,A6,'[1]Sales Data (Sep 2025 - Jan 2026'!K:K)</f>
        <v>#VALUE!</v>
      </c>
    </row>
    <row r="7" spans="1:3" x14ac:dyDescent="0.45">
      <c r="A7" t="s">
        <v>36</v>
      </c>
      <c r="B7" t="e">
        <f>SUMIF('[1]Sales Data (Sep 2025 - Jan 2026'!D:D,A7,'[1]Sales Data (Sep 2025 - Jan 2026'!J:J)</f>
        <v>#VALUE!</v>
      </c>
      <c r="C7" t="e">
        <f>SUMIF('[1]Sales Data (Sep 2025 - Jan 2026'!D:D,A7,'[1]Sales Data (Sep 2025 - Jan 2026'!K:K)</f>
        <v>#VALUE!</v>
      </c>
    </row>
    <row r="8" spans="1:3" x14ac:dyDescent="0.45">
      <c r="A8" t="s">
        <v>39</v>
      </c>
      <c r="B8" t="e">
        <f>SUMIF('[1]Sales Data (Sep 2025 - Jan 2026'!D:D,A8,'[1]Sales Data (Sep 2025 - Jan 2026'!J:J)</f>
        <v>#VALUE!</v>
      </c>
      <c r="C8" t="e">
        <f>SUMIF('[1]Sales Data (Sep 2025 - Jan 2026'!D:D,A8,'[1]Sales Data (Sep 2025 - Jan 2026'!K:K)</f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 (Sep 2025 - Jan 2026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anjishnu podder</cp:lastModifiedBy>
  <dcterms:created xsi:type="dcterms:W3CDTF">2026-02-12T20:11:29Z</dcterms:created>
  <dcterms:modified xsi:type="dcterms:W3CDTF">2026-02-12T20:14:49Z</dcterms:modified>
</cp:coreProperties>
</file>